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3356B45F0CD59FA/Documents/CaL4M/"/>
    </mc:Choice>
  </mc:AlternateContent>
  <xr:revisionPtr revIDLastSave="148" documentId="8_{FB3D3CDD-9E17-4714-846C-544C4FEA20B3}" xr6:coauthVersionLast="47" xr6:coauthVersionMax="47" xr10:uidLastSave="{1B24E9DE-7DE9-48E5-AC8B-DFF0F70BCB6A}"/>
  <bookViews>
    <workbookView xWindow="-108" yWindow="-108" windowWidth="23256" windowHeight="13896" xr2:uid="{4158FAAE-BB40-45AF-BDDB-905F9B4B111A}"/>
  </bookViews>
  <sheets>
    <sheet name="Opposites" sheetId="3" r:id="rId1"/>
    <sheet name="Sentiment" sheetId="2" r:id="rId2"/>
    <sheet name="Grammar" sheetId="5" r:id="rId3"/>
    <sheet name="Knockout" sheetId="1" r:id="rId4"/>
  </sheets>
  <functionGroups builtInGroupCount="19"/>
  <definedNames>
    <definedName name="_xlnm._FilterDatabase" localSheetId="1" hidden="1">Sentiment!$A$1:$B$32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 a="1"/>
  <c r="B13" i="1" a="1"/>
  <c r="B21" i="1" a="1"/>
  <c r="B29" i="1" a="1"/>
  <c r="B6" i="1" a="1"/>
  <c r="B14" i="1" a="1"/>
  <c r="B22" i="1" a="1"/>
  <c r="B7" i="1" a="1"/>
  <c r="B15" i="1" a="1"/>
  <c r="B23" i="1" a="1"/>
  <c r="B12" i="1" a="1"/>
  <c r="B8" i="1" a="1"/>
  <c r="B16" i="1" a="1"/>
  <c r="B24" i="1" a="1"/>
  <c r="B9" i="1" a="1"/>
  <c r="B17" i="1" a="1"/>
  <c r="B25" i="1" a="1"/>
  <c r="B10" i="1" a="1"/>
  <c r="B18" i="1" a="1"/>
  <c r="B26" i="1" a="1"/>
  <c r="B11" i="1" a="1"/>
  <c r="B19" i="1" a="1"/>
  <c r="B27" i="1" a="1"/>
  <c r="B20" i="1" a="1"/>
  <c r="B28" i="1" a="1"/>
  <c r="B3" i="2" a="1"/>
  <c r="B11" i="2" a="1"/>
  <c r="B19" i="2" a="1"/>
  <c r="B27" i="2" a="1"/>
  <c r="B12" i="2" a="1"/>
  <c r="B20" i="2" a="1"/>
  <c r="B5" i="2" a="1"/>
  <c r="B13" i="2" a="1"/>
  <c r="B21" i="2" a="1"/>
  <c r="B29" i="2" a="1"/>
  <c r="B6" i="2" a="1"/>
  <c r="B22" i="2" a="1"/>
  <c r="B7" i="2" a="1"/>
  <c r="B23" i="2" a="1"/>
  <c r="B8" i="2" a="1"/>
  <c r="B24" i="2" a="1"/>
  <c r="B9" i="2" a="1"/>
  <c r="B25" i="2" a="1"/>
  <c r="B10" i="2" a="1"/>
  <c r="B26" i="2" a="1"/>
  <c r="B4" i="2" a="1"/>
  <c r="B28" i="2" a="1"/>
  <c r="B14" i="2" a="1"/>
  <c r="B30" i="2" a="1"/>
  <c r="B15" i="2" a="1"/>
  <c r="B31" i="2" a="1"/>
  <c r="B16" i="2" a="1"/>
  <c r="B17" i="2" a="1"/>
  <c r="B18" i="2" a="1"/>
  <c r="C4" i="3" a="1"/>
  <c r="C12" i="3" a="1"/>
  <c r="C5" i="3" a="1"/>
  <c r="C6" i="3" a="1"/>
  <c r="C7" i="3" a="1"/>
  <c r="C8" i="3" a="1"/>
  <c r="C9" i="3" a="1"/>
  <c r="C10" i="3" a="1"/>
  <c r="C11" i="3" a="1"/>
  <c r="B4" i="3" a="1"/>
  <c r="B12" i="3" a="1"/>
  <c r="B5" i="3" a="1"/>
  <c r="B6" i="3" a="1"/>
  <c r="B7" i="3" a="1"/>
  <c r="B8" i="3" a="1"/>
  <c r="B9" i="3" a="1"/>
  <c r="B10" i="3" a="1"/>
  <c r="B11" i="3" a="1"/>
  <c r="B3" i="3" a="1"/>
  <c r="B2" i="2" a="1"/>
  <c r="B4" i="1" a="1"/>
  <c r="C2" i="5" a="1"/>
  <c r="C6" i="5" a="1"/>
  <c r="C5" i="5" a="1"/>
  <c r="C4" i="5" a="1"/>
  <c r="C3" i="5" a="1"/>
  <c r="B28" i="1" l="1"/>
  <c r="B20" i="1"/>
  <c r="B27" i="1"/>
  <c r="D27" i="1" s="1"/>
  <c r="B19" i="1"/>
  <c r="D19" i="1" s="1"/>
  <c r="B11" i="1"/>
  <c r="B26" i="1"/>
  <c r="D26" i="1" s="1"/>
  <c r="B18" i="1"/>
  <c r="B10" i="1"/>
  <c r="D10" i="1" s="1"/>
  <c r="B25" i="1"/>
  <c r="D25" i="1" s="1"/>
  <c r="B17" i="1"/>
  <c r="D17" i="1" s="1"/>
  <c r="B9" i="1"/>
  <c r="D9" i="1" s="1"/>
  <c r="B24" i="1"/>
  <c r="D24" i="1" s="1"/>
  <c r="B16" i="1"/>
  <c r="D16" i="1" s="1"/>
  <c r="B8" i="1"/>
  <c r="D8" i="1" s="1"/>
  <c r="B12" i="1"/>
  <c r="D12" i="1" s="1"/>
  <c r="B23" i="1"/>
  <c r="D23" i="1" s="1"/>
  <c r="B15" i="1"/>
  <c r="B7" i="1"/>
  <c r="B22" i="1"/>
  <c r="D22" i="1" s="1"/>
  <c r="B14" i="1"/>
  <c r="D14" i="1" s="1"/>
  <c r="B6" i="1"/>
  <c r="D6" i="1" s="1"/>
  <c r="B29" i="1"/>
  <c r="B21" i="1"/>
  <c r="D21" i="1" s="1"/>
  <c r="B13" i="1"/>
  <c r="B5" i="1"/>
  <c r="D5" i="1" s="1"/>
  <c r="B18" i="2"/>
  <c r="B17" i="2"/>
  <c r="B16" i="2"/>
  <c r="B31" i="2"/>
  <c r="B15" i="2"/>
  <c r="B30" i="2"/>
  <c r="B14" i="2"/>
  <c r="B28" i="2"/>
  <c r="B4" i="2"/>
  <c r="B26" i="2"/>
  <c r="B10" i="2"/>
  <c r="B25" i="2"/>
  <c r="B9" i="2"/>
  <c r="B24" i="2"/>
  <c r="B8" i="2"/>
  <c r="B23" i="2"/>
  <c r="B7" i="2"/>
  <c r="B22" i="2"/>
  <c r="B6" i="2"/>
  <c r="B29" i="2"/>
  <c r="B21" i="2"/>
  <c r="B13" i="2"/>
  <c r="B5" i="2"/>
  <c r="B20" i="2"/>
  <c r="B12" i="2"/>
  <c r="B27" i="2"/>
  <c r="B19" i="2"/>
  <c r="B11" i="2"/>
  <c r="B3" i="2"/>
  <c r="C11" i="3"/>
  <c r="C10" i="3"/>
  <c r="C9" i="3"/>
  <c r="C8" i="3"/>
  <c r="C7" i="3"/>
  <c r="C6" i="3"/>
  <c r="C5" i="3"/>
  <c r="C12" i="3"/>
  <c r="C4" i="3"/>
  <c r="B11" i="3"/>
  <c r="B10" i="3"/>
  <c r="B9" i="3"/>
  <c r="B8" i="3"/>
  <c r="B7" i="3"/>
  <c r="B6" i="3"/>
  <c r="B5" i="3"/>
  <c r="B12" i="3"/>
  <c r="B4" i="3"/>
  <c r="B3" i="3"/>
  <c r="B2" i="2"/>
  <c r="C4" i="5"/>
  <c r="C5" i="5"/>
  <c r="C6" i="5"/>
  <c r="C2" i="5"/>
  <c r="C3" i="5"/>
  <c r="D15" i="1"/>
  <c r="B4" i="1"/>
  <c r="D4" i="1" s="1"/>
  <c r="D20" i="1"/>
  <c r="D29" i="1"/>
  <c r="D13" i="1"/>
  <c r="D7" i="1"/>
  <c r="D11" i="1"/>
  <c r="D18" i="1"/>
  <c r="D28" i="1"/>
  <c r="C3" i="3" a="1"/>
  <c r="E20" i="1" a="1"/>
  <c r="E10" i="1" a="1"/>
  <c r="E6" i="1" a="1"/>
  <c r="E16" i="1" a="1"/>
  <c r="E26" i="1" a="1"/>
  <c r="E18" i="1" a="1"/>
  <c r="E14" i="1" a="1"/>
  <c r="E24" i="1" a="1"/>
  <c r="E4" i="1" a="1"/>
  <c r="C3" i="3" l="1"/>
  <c r="E20" i="1"/>
  <c r="E10" i="1"/>
  <c r="E26" i="1"/>
  <c r="E6" i="1"/>
  <c r="E4" i="1"/>
  <c r="E18" i="1"/>
  <c r="E16" i="1"/>
  <c r="E24" i="1"/>
  <c r="E14" i="1"/>
  <c r="F4" i="1" a="1"/>
  <c r="F16" i="1" a="1"/>
  <c r="E12" i="1" a="1"/>
  <c r="E8" i="1" a="1"/>
  <c r="E22" i="1" a="1"/>
  <c r="E28" i="1" a="1"/>
  <c r="F24" i="1" a="1"/>
  <c r="E28" i="1" l="1"/>
  <c r="E22" i="1"/>
  <c r="E8" i="1"/>
  <c r="E12" i="1"/>
  <c r="F24" i="1"/>
  <c r="F16" i="1"/>
  <c r="F4" i="1"/>
  <c r="F8" i="1" a="1"/>
  <c r="F12" i="1" a="1"/>
  <c r="F28" i="1" a="1"/>
  <c r="F20" i="1" a="1"/>
  <c r="F20" i="1" l="1"/>
  <c r="F12" i="1"/>
  <c r="F28" i="1"/>
  <c r="F8" i="1"/>
  <c r="G20" i="1" a="1"/>
  <c r="G12" i="1" a="1"/>
  <c r="G28" i="1" a="1"/>
  <c r="G4" i="1" a="1"/>
  <c r="G4" i="1" l="1"/>
  <c r="G28" i="1"/>
  <c r="G12" i="1"/>
  <c r="G20" i="1"/>
  <c r="H20" i="1" a="1"/>
  <c r="H20" i="1" l="1"/>
  <c r="H4" i="1" a="1"/>
  <c r="H4" i="1" l="1"/>
  <c r="I4" i="1" a="1"/>
  <c r="I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<sst xmlns="http://schemas.openxmlformats.org/spreadsheetml/2006/main" count="80" uniqueCount="80">
  <si>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</si>
  <si>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</si>
  <si>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</si>
  <si>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</si>
  <si>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</si>
  <si>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</si>
  <si>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</si>
  <si>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</si>
  <si>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</si>
  <si>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</si>
  <si>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</si>
  <si>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</si>
  <si>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</si>
  <si>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</si>
  <si>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</si>
  <si>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</si>
  <si>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</si>
  <si>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</si>
  <si>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</si>
  <si>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</si>
  <si>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</si>
  <si>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</si>
  <si>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</si>
  <si>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</si>
  <si>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</si>
  <si>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I</t>
  </si>
  <si>
    <t>The service was impeccable, and the pasta melted in my mouth. A perfect evening.</t>
  </si>
  <si>
    <t>Not terrible, but the food took forever and came out lukewarm.</t>
  </si>
  <si>
    <t>I’ve had better burgers at a gas station. Won’t be returning.</t>
  </si>
  <si>
    <t>Absolutely loved the atmosphere. The jazz trio added a classy touch.</t>
  </si>
  <si>
    <t>Decent food, average prices, nothing stood out.</t>
  </si>
  <si>
    <t>The waiter seemed rushed and forgot one of our sides, but the steak was great.</t>
  </si>
  <si>
    <t>I can’t believe how fresh the sushi was — truly top tier.</t>
  </si>
  <si>
    <t>Too loud, too crowded, and way overpriced for what you get.</t>
  </si>
  <si>
    <t>The desserts alone are worth the trip.</t>
  </si>
  <si>
    <t>Everything was okay. Just okay.</t>
  </si>
  <si>
    <t>Our server was warm and attentive, and the cocktails were spot on.</t>
  </si>
  <si>
    <t>Greasy food, sticky tables, and no soap in the bathroom. Yikes.</t>
  </si>
  <si>
    <t>An absolute gem. Authentic flavors and generous portions.</t>
  </si>
  <si>
    <t>We waited 40 minutes for cold fries and bland chicken.</t>
  </si>
  <si>
    <t>The rooftop view made up for the slow service.</t>
  </si>
  <si>
    <t>Overhyped and underwhelming. Instagram bait at best.</t>
  </si>
  <si>
    <t>They accommodated my gluten allergy without fuss — I felt so cared for.</t>
  </si>
  <si>
    <t>Not worth the price tag. Presentation was nice, taste was meh.</t>
  </si>
  <si>
    <t>Every bite felt like a hug from my grandmother.</t>
  </si>
  <si>
    <t>They forgot our reservation but squeezed us in. Food was decent.</t>
  </si>
  <si>
    <t>I’ve never had such tender lamb. Still thinking about it.</t>
  </si>
  <si>
    <t>Very average. Probably won’t go out of my way to return.</t>
  </si>
  <si>
    <t>Staff kept hovering, which made it hard to relax.</t>
  </si>
  <si>
    <t>It’s our new favorite date night spot — consistently wonderful.</t>
  </si>
  <si>
    <t>They burned the pizza and still charged us full price.</t>
  </si>
  <si>
    <t>Cozy ambiance, great playlist, and the best risotto I’ve ever had.</t>
  </si>
  <si>
    <t>The menu had typos and the waiter didn’t know the specials. Disappointing.</t>
  </si>
  <si>
    <t>Food came fast, hot, and delicious. Five stars.</t>
  </si>
  <si>
    <t>The decor was cute, but the food tasted frozen.</t>
  </si>
  <si>
    <t>We laughed, we drank, we devoured everything. Can’t wait to come back.</t>
  </si>
  <si>
    <t>Review</t>
  </si>
  <si>
    <t>Analyse the sentiment as POSITIVE, NEUTRAL or NEGATIVE</t>
  </si>
  <si>
    <t>vibrant</t>
  </si>
  <si>
    <t>bitter</t>
  </si>
  <si>
    <t>elegant</t>
  </si>
  <si>
    <t>soggy</t>
  </si>
  <si>
    <t>delightful</t>
  </si>
  <si>
    <t>bland</t>
  </si>
  <si>
    <t>charming</t>
  </si>
  <si>
    <t>overpriced</t>
  </si>
  <si>
    <t>crispy</t>
  </si>
  <si>
    <t>forgettable</t>
  </si>
  <si>
    <t>Adjectives</t>
  </si>
  <si>
    <t>I loved it.</t>
  </si>
  <si>
    <t>Does the sentence tell us who?</t>
  </si>
  <si>
    <t>Does the sentence tell us what?</t>
  </si>
  <si>
    <t>Does the sentence tell us when?</t>
  </si>
  <si>
    <t>Does the sentence tell us where?</t>
  </si>
  <si>
    <t>Does the sentence tell us why?</t>
  </si>
  <si>
    <t xml:space="preserve">Which adjective is opposite </t>
  </si>
  <si>
    <t>Name a vegetable</t>
  </si>
  <si>
    <t>Use this word in a short sentence</t>
  </si>
  <si>
    <t>My brother and I go to the movies.</t>
  </si>
  <si>
    <t>Which are more scary?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</si>
</sst>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8E93C-C3F5-4A88-87EA-6A9103DA3243}">
  <sheetPr codeName="Sheet3"/>
  <dimension ref="A2:C12"/>
  <sheetViews>
    <sheetView tabSelected="1" workbookViewId="0"/>
  </sheetViews>
  <sheetFormatPr defaultRowHeight="14.4" x14ac:dyDescent="0.3"/>
  <cols>
    <col min="1" max="1" width="16.21875" customWidth="1"/>
    <col min="2" max="2" width="26.44140625" customWidth="1"/>
    <col min="3" max="3" width="124.33203125" customWidth="1"/>
  </cols>
  <sheetData>
    <row r="2" spans="1:3" x14ac:dyDescent="0.3">
      <c r="A2" s="1" t="s">
        <v>68</v>
      </c>
      <c r="B2" s="1" t="s">
        <v>75</v>
      </c>
      <c r="C2" s="1" t="s">
        <v>77</v>
      </c>
    </row>
    <row r="3" spans="1:3" x14ac:dyDescent="0.3">
      <c r="A3" t="s">
        <v>59</v>
      </c>
      <c r="B3" t="str" cm="1">
        <f t="array" ref="B3">cal4m(B$2&amp;" "&amp;A3,"word")</f>
        <v>Sweet</v>
      </c>
      <c r="C3" t="str" cm="1">
        <f t="array" ref="C3">cal4m(C$2&amp; " "&amp;B3,"example sentence")</f>
        <v>The dessert had just the right amount of sweetness to satisfy everyone'thy taste buds at the party.</v>
      </c>
    </row>
    <row r="4" spans="1:3" x14ac:dyDescent="0.3">
      <c r="A4" t="s">
        <v>63</v>
      </c>
      <c r="B4" t="str" cm="1">
        <f t="array" ref="B4">cal4m(B$2&amp;" "&amp;A4,"word")</f>
        <v>Exotic</v>
      </c>
      <c r="C4" t="str" cm="1">
        <f t="array" ref="C4">cal4m(C$2&amp; " "&amp;B4,"example sentence")</f>
        <v>The newly discovered island boasts exotic flora and fauna unseen anywhere else on Earth.</v>
      </c>
    </row>
    <row r="5" spans="1:3" x14ac:dyDescent="0.3">
      <c r="A5" t="s">
        <v>64</v>
      </c>
      <c r="B5" t="str" cm="1">
        <f t="array" ref="B5">cal4m(B$2&amp;" "&amp;A5,"word")</f>
        <v>Uncharming</v>
      </c>
      <c r="C5" t="str" cm="1">
        <f t="array" ref="C5">cal4m(C$2&amp; " "&amp;B5,"example sentence")</f>
        <v>Despite his best efforts to appear charming at the party, John's uncharming choice of clothing and monotonous conversation left many feeling out of place around him.</v>
      </c>
    </row>
    <row r="6" spans="1:3" x14ac:dyDescent="0.3">
      <c r="A6" t="s">
        <v>66</v>
      </c>
      <c r="B6" t="str" cm="1">
        <f t="array" ref="B6">cal4m(B$2&amp;" "&amp;A6,"word")</f>
        <v>Soggy</v>
      </c>
      <c r="C6" t="str" cm="1">
        <f t="array" ref="C6">cal4m(C$2&amp; " "&amp;B6,"example sentence")</f>
        <v>The picnic was ruined when the rain turned the grass into a soggy mess.</v>
      </c>
    </row>
    <row r="7" spans="1:3" x14ac:dyDescent="0.3">
      <c r="A7" t="s">
        <v>62</v>
      </c>
      <c r="B7" t="str" cm="1">
        <f t="array" ref="B7">cal4m(B$2&amp;" "&amp;A7,"word")</f>
        <v>Unpleasant</v>
      </c>
      <c r="C7" t="str" cm="1">
        <f t="array" ref="C7">cal4m(C$2&amp; " "&amp;B7,"example sentence")</f>
        <v>The lingering smell of spoiled food at the picnic made for an unpleasant experience.</v>
      </c>
    </row>
    <row r="8" spans="1:3" x14ac:dyDescent="0.3">
      <c r="A8" t="s">
        <v>60</v>
      </c>
      <c r="B8" t="str" cm="1">
        <f t="array" ref="B8">cal4m(B$2&amp;" "&amp;A8,"word")</f>
        <v>Clumsy</v>
      </c>
      <c r="C8" t="str" cm="1">
        <f t="array" ref="C8">cal4m(C$2&amp; " "&amp;B8,"example sentence")</f>
        <v>The clumsy waiter spilled soup all over the customer' extraneous papers scattered on the table.</v>
      </c>
    </row>
    <row r="9" spans="1:3" x14ac:dyDescent="0.3">
      <c r="A9" t="s">
        <v>67</v>
      </c>
      <c r="B9" t="str" cm="1">
        <f t="array" ref="B9">cal4m(B$2&amp;" "&amp;A9,"word")</f>
        <v>Memorable</v>
      </c>
      <c r="C9" t="str" cm="1">
        <f t="array" ref="C9">cal4m(C$2&amp; " "&amp;B9,"example sentence")</f>
        <v>The breatthy smell of freshly baked apple pie lingered in the air at Grandma's house, instantly taking me back to my childhood memories. (Memorable)  In this example, I used</v>
      </c>
    </row>
    <row r="10" spans="1:3" x14ac:dyDescent="0.3">
      <c r="A10" t="s">
        <v>65</v>
      </c>
      <c r="B10" t="str" cm="1">
        <f t="array" ref="B10">cal4m(B$2&amp;" "&amp;A10,"word")</f>
        <v>Underpriced</v>
      </c>
      <c r="C10" t="str" cm="1">
        <f t="array" ref="C10">cal4m(C$2&amp; " "&amp;B10,"example sentence")</f>
        <v>The vintage watch was underpriced at the flea market due to its excellent condition and rarity.</v>
      </c>
    </row>
    <row r="11" spans="1:3" x14ac:dyDescent="0.3">
      <c r="A11" t="s">
        <v>61</v>
      </c>
      <c r="B11" t="str" cm="1">
        <f t="array" ref="B11">cal4m(B$2&amp;" "&amp;A11,"word")</f>
        <v>Dry</v>
      </c>
      <c r="C11" t="str" cm="1">
        <f t="array" ref="C11">cal4m(C$2&amp; " "&amp;B11,"example sentence")</f>
        <v>The garden was parched after weeks without rain.</v>
      </c>
    </row>
    <row r="12" spans="1:3" x14ac:dyDescent="0.3">
      <c r="A12" t="s">
        <v>58</v>
      </c>
      <c r="B12" t="str" cm="1">
        <f t="array" ref="B12">cal4m(B$2&amp;" "&amp;A12,"word")</f>
        <v>Dull</v>
      </c>
      <c r="C12" t="str" cm="1">
        <f t="array" ref="C12">cal4m(C$2&amp; " "&amp;B12,"example sentence")</f>
        <v>The lecture felt dull as the professor monotonously recited facts without any engaging visuals or interactive elements.</v>
      </c>
    </row>
  </sheetData>
  <sortState xmlns:xlrd2="http://schemas.microsoft.com/office/spreadsheetml/2017/richdata2" ref="B3:B21">
    <sortCondition ref="B3:B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283BD-9605-4C6C-B41D-1F7F09162AF4}">
  <sheetPr codeName="Sheet2"/>
  <dimension ref="A1:C32"/>
  <sheetViews>
    <sheetView workbookViewId="0">
      <selection activeCell="C6" sqref="C6"/>
    </sheetView>
  </sheetViews>
  <sheetFormatPr defaultRowHeight="14.4" x14ac:dyDescent="0.3"/>
  <cols>
    <col min="1" max="1" width="67.88671875" bestFit="1" customWidth="1"/>
    <col min="2" max="2" width="51.77734375" bestFit="1" customWidth="1"/>
    <col min="3" max="3" width="34.21875" customWidth="1"/>
  </cols>
  <sheetData>
    <row r="1" spans="1:3" x14ac:dyDescent="0.3">
      <c r="A1" s="1" t="s">
        <v>56</v>
      </c>
      <c r="B1" s="1" t="s">
        <v>57</v>
      </c>
      <c r="C1" s="1"/>
    </row>
    <row r="2" spans="1:3" x14ac:dyDescent="0.3">
      <c r="A2" s="3" t="s">
        <v>29</v>
      </c>
      <c r="B2" t="str" cm="1">
        <f t="array" ref="B2">cal4m(B$1&amp;" "&amp;$A2,"word")</f>
        <v>Positive</v>
      </c>
    </row>
    <row r="3" spans="1:3" x14ac:dyDescent="0.3">
      <c r="A3" s="3" t="s">
        <v>38</v>
      </c>
      <c r="B3" t="str" cm="1">
        <f t="array" ref="B3">cal4m(B$1&amp;" "&amp;$A3,"word")</f>
        <v>Positive</v>
      </c>
    </row>
    <row r="4" spans="1:3" x14ac:dyDescent="0.3">
      <c r="A4" s="3" t="s">
        <v>51</v>
      </c>
      <c r="B4" t="str" cm="1">
        <f t="array" ref="B4">cal4m(B$1&amp;" "&amp;$A4,"word")</f>
        <v>Positive</v>
      </c>
    </row>
    <row r="5" spans="1:3" x14ac:dyDescent="0.3">
      <c r="A5" s="3" t="s">
        <v>30</v>
      </c>
      <c r="B5" t="str" cm="1">
        <f t="array" ref="B5">cal4m(B$1&amp;" "&amp;$A5,"word")</f>
        <v>Neutral</v>
      </c>
    </row>
    <row r="6" spans="1:3" x14ac:dyDescent="0.3">
      <c r="A6" s="3" t="s">
        <v>44</v>
      </c>
      <c r="B6" t="str" cm="1">
        <f t="array" ref="B6">cal4m(B$1&amp;" "&amp;$A6,"word")</f>
        <v>Positive</v>
      </c>
    </row>
    <row r="7" spans="1:3" x14ac:dyDescent="0.3">
      <c r="A7" s="3" t="s">
        <v>35</v>
      </c>
      <c r="B7" t="str" cm="1">
        <f t="array" ref="B7">cal4m(B$1&amp;" "&amp;$A7,"word")</f>
        <v>Neutral</v>
      </c>
    </row>
    <row r="8" spans="1:3" x14ac:dyDescent="0.3">
      <c r="A8" s="3" t="s">
        <v>53</v>
      </c>
      <c r="B8" t="str" cm="1">
        <f t="array" ref="B8">cal4m(B$1&amp;" "&amp;$A8,"word")</f>
        <v>Positive</v>
      </c>
    </row>
    <row r="9" spans="1:3" x14ac:dyDescent="0.3">
      <c r="A9" s="3" t="s">
        <v>37</v>
      </c>
      <c r="B9" t="str" cm="1">
        <f t="array" ref="B9">cal4m(B$1&amp;" "&amp;$A9,"word")</f>
        <v>Negative</v>
      </c>
    </row>
    <row r="10" spans="1:3" x14ac:dyDescent="0.3">
      <c r="A10" s="3" t="s">
        <v>32</v>
      </c>
      <c r="B10" t="str" cm="1">
        <f t="array" ref="B10">cal4m(B$1&amp;" "&amp;$A10,"word")</f>
        <v>Positive</v>
      </c>
    </row>
    <row r="11" spans="1:3" x14ac:dyDescent="0.3">
      <c r="A11" s="3" t="s">
        <v>28</v>
      </c>
      <c r="B11" t="str" cm="1">
        <f t="array" ref="B11">cal4m(B$1&amp;" "&amp;$A11,"word")</f>
        <v>Negative</v>
      </c>
    </row>
    <row r="12" spans="1:3" x14ac:dyDescent="0.3">
      <c r="A12" s="3" t="s">
        <v>46</v>
      </c>
      <c r="B12" t="str" cm="1">
        <f t="array" ref="B12">cal4m(B$1&amp;" "&amp;$A12,"word")</f>
        <v>Positive</v>
      </c>
    </row>
    <row r="13" spans="1:3" x14ac:dyDescent="0.3">
      <c r="A13" s="3" t="s">
        <v>49</v>
      </c>
      <c r="B13" t="str" cm="1">
        <f t="array" ref="B13">cal4m(B$1&amp;" "&amp;$A13,"word")</f>
        <v>Positive</v>
      </c>
    </row>
    <row r="14" spans="1:3" x14ac:dyDescent="0.3">
      <c r="A14" s="3" t="s">
        <v>27</v>
      </c>
      <c r="B14" t="str" cm="1">
        <f t="array" ref="B14">cal4m(B$1&amp;" "&amp;$A14,"word")</f>
        <v>Negative</v>
      </c>
    </row>
    <row r="15" spans="1:3" x14ac:dyDescent="0.3">
      <c r="A15" s="3" t="s">
        <v>43</v>
      </c>
      <c r="B15" t="str" cm="1">
        <f t="array" ref="B15">cal4m(B$1&amp;" "&amp;$A15,"word")</f>
        <v>Negative</v>
      </c>
    </row>
    <row r="16" spans="1:3" x14ac:dyDescent="0.3">
      <c r="A16" s="3" t="s">
        <v>36</v>
      </c>
      <c r="B16" t="str" cm="1">
        <f t="array" ref="B16">cal4m(B$1&amp;" "&amp;$A16,"word")</f>
        <v>Positive</v>
      </c>
    </row>
    <row r="17" spans="1:2" x14ac:dyDescent="0.3">
      <c r="A17" s="3" t="s">
        <v>41</v>
      </c>
      <c r="B17" t="str" cm="1">
        <f t="array" ref="B17">cal4m(B$1&amp;" "&amp;$A17,"word")</f>
        <v>Negative</v>
      </c>
    </row>
    <row r="18" spans="1:2" x14ac:dyDescent="0.3">
      <c r="A18" s="3" t="s">
        <v>48</v>
      </c>
      <c r="B18" t="str" cm="1">
        <f t="array" ref="B18">cal4m(B$1&amp;" "&amp;$A18,"word")</f>
        <v>Negative</v>
      </c>
    </row>
    <row r="19" spans="1:2" x14ac:dyDescent="0.3">
      <c r="A19" s="3" t="s">
        <v>54</v>
      </c>
      <c r="B19" t="str" cm="1">
        <f t="array" ref="B19">cal4m(B$1&amp;" "&amp;$A19,"word")</f>
        <v>Negative</v>
      </c>
    </row>
    <row r="20" spans="1:2" x14ac:dyDescent="0.3">
      <c r="A20" s="3" t="s">
        <v>34</v>
      </c>
      <c r="B20" t="str" cm="1">
        <f t="array" ref="B20">cal4m(B$1&amp;" "&amp;$A20,"word")</f>
        <v>Positive</v>
      </c>
    </row>
    <row r="21" spans="1:2" x14ac:dyDescent="0.3">
      <c r="A21" s="3" t="s">
        <v>52</v>
      </c>
      <c r="B21" t="str" cm="1">
        <f t="array" ref="B21">cal4m(B$1&amp;" "&amp;$A21,"word")</f>
        <v>Negative</v>
      </c>
    </row>
    <row r="22" spans="1:2" x14ac:dyDescent="0.3">
      <c r="A22" s="3" t="s">
        <v>40</v>
      </c>
      <c r="B22" t="str" cm="1">
        <f t="array" ref="B22">cal4m(B$1&amp;" "&amp;$A22,"word")</f>
        <v>Positive</v>
      </c>
    </row>
    <row r="23" spans="1:2" x14ac:dyDescent="0.3">
      <c r="A23" s="3" t="s">
        <v>26</v>
      </c>
      <c r="B23" t="str" cm="1">
        <f t="array" ref="B23">cal4m(B$1&amp;" "&amp;$A23,"word")</f>
        <v>Positive</v>
      </c>
    </row>
    <row r="24" spans="1:2" x14ac:dyDescent="0.3">
      <c r="A24" s="3" t="s">
        <v>31</v>
      </c>
      <c r="B24" t="str" cm="1">
        <f t="array" ref="B24">cal4m(B$1&amp;" "&amp;$A24,"word")</f>
        <v>Negative</v>
      </c>
    </row>
    <row r="25" spans="1:2" x14ac:dyDescent="0.3">
      <c r="A25" s="3" t="s">
        <v>42</v>
      </c>
      <c r="B25" t="str" cm="1">
        <f t="array" ref="B25">cal4m(B$1&amp;" "&amp;$A25,"word")</f>
        <v>Positive</v>
      </c>
    </row>
    <row r="26" spans="1:2" x14ac:dyDescent="0.3">
      <c r="A26" s="3" t="s">
        <v>50</v>
      </c>
      <c r="B26" t="str" cm="1">
        <f t="array" ref="B26">cal4m(B$1&amp;" "&amp;$A26,"word")</f>
        <v>Negative</v>
      </c>
    </row>
    <row r="27" spans="1:2" x14ac:dyDescent="0.3">
      <c r="A27" s="3" t="s">
        <v>45</v>
      </c>
      <c r="B27" t="str" cm="1">
        <f t="array" ref="B27">cal4m(B$1&amp;" "&amp;$A27,"word")</f>
        <v>Neutral</v>
      </c>
    </row>
    <row r="28" spans="1:2" x14ac:dyDescent="0.3">
      <c r="A28" s="3" t="s">
        <v>33</v>
      </c>
      <c r="B28" t="str" cm="1">
        <f t="array" ref="B28">cal4m(B$1&amp;" "&amp;$A28,"word")</f>
        <v>Negative</v>
      </c>
    </row>
    <row r="29" spans="1:2" x14ac:dyDescent="0.3">
      <c r="A29" s="3" t="s">
        <v>47</v>
      </c>
      <c r="B29" t="str" cm="1">
        <f t="array" ref="B29">cal4m(B$1&amp;" "&amp;$A29,"word")</f>
        <v>Negative</v>
      </c>
    </row>
    <row r="30" spans="1:2" x14ac:dyDescent="0.3">
      <c r="A30" s="3" t="s">
        <v>55</v>
      </c>
      <c r="B30" t="str" cm="1">
        <f t="array" ref="B30">cal4m(B$1&amp;" "&amp;$A30,"word")</f>
        <v>Positive</v>
      </c>
    </row>
    <row r="31" spans="1:2" x14ac:dyDescent="0.3">
      <c r="A31" s="3" t="s">
        <v>39</v>
      </c>
      <c r="B31" t="str" cm="1">
        <f t="array" ref="B31">cal4m(B$1&amp;" "&amp;$A31,"word")</f>
        <v>Negative</v>
      </c>
    </row>
    <row r="32" spans="1:2" x14ac:dyDescent="0.3">
      <c r="A32" s="3" t="s">
        <v>69</v>
      </c>
    </row>
  </sheetData>
  <autoFilter ref="A1:B32" xr:uid="{EDF283BD-9605-4C6C-B41D-1F7F09162AF4}"/>
  <sortState xmlns:xlrd2="http://schemas.microsoft.com/office/spreadsheetml/2017/richdata2" ref="A2:A60">
    <sortCondition ref="A1:A6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80CCF-0C65-4A87-B607-73F28B4C6095}">
  <sheetPr codeName="Sheet5"/>
  <dimension ref="A2:C12"/>
  <sheetViews>
    <sheetView workbookViewId="0">
      <selection activeCell="A7" sqref="A7"/>
    </sheetView>
  </sheetViews>
  <sheetFormatPr defaultRowHeight="14.4" x14ac:dyDescent="0.3"/>
  <cols>
    <col min="1" max="1" width="50.6640625" customWidth="1"/>
    <col min="2" max="2" width="29.77734375" customWidth="1"/>
    <col min="3" max="3" width="94.33203125" customWidth="1"/>
  </cols>
  <sheetData>
    <row r="2" spans="1:3" ht="28.8" customHeight="1" x14ac:dyDescent="0.3">
      <c r="A2" s="9" t="s">
        <v>78</v>
      </c>
      <c r="B2" s="2" t="s">
        <v>70</v>
      </c>
      <c r="C2" s="2" t="str" cm="1">
        <f t="array" ref="C2">cal4m(A$2&amp;" "&amp;B2,"phrasE")</f>
        <v>The sentence tells that you (the speaker) and your brother are going to the movies together. It implies a shared activity involving both of you, but does not specify any additional individuals beyond these two people mentioned in the context.</v>
      </c>
    </row>
    <row r="3" spans="1:3" ht="28.8" x14ac:dyDescent="0.3">
      <c r="A3" s="9"/>
      <c r="B3" s="2" t="s">
        <v>71</v>
      </c>
      <c r="C3" s="2" t="str" cm="1">
        <f t="array" ref="C3">cal4m(A$2&amp;" "&amp;B3,"phrasE")</f>
        <v>The sentence tells us about a personal activity involving family members (brother) going to watch films together at a cinema. It implies shared leis extrinsic interest in film entertainment, potential bonding time or planning experience within famil</v>
      </c>
    </row>
    <row r="4" spans="1:3" ht="28.8" customHeight="1" x14ac:dyDescent="0.3">
      <c r="A4" s="9"/>
      <c r="B4" s="2" t="s">
        <v>72</v>
      </c>
      <c r="C4" s="2" t="str" cm="1">
        <f t="array" ref="C4">cal4m(A$2&amp;" "&amp;B4,"phrasE")</f>
        <v>The given sentence does not provide a specific time for going to the movies with your brother; it only indicates that this activity occurs at an unspecified moment within a broader context or schedule. To determine the timing, additional</v>
      </c>
    </row>
    <row r="5" spans="1:3" ht="28.8" customHeight="1" x14ac:dyDescent="0.3">
      <c r="A5" s="9"/>
      <c r="B5" s="2" t="s">
        <v>73</v>
      </c>
      <c r="C5" s="2" t="str" cm="1">
        <f t="array" ref="C5">cal4m(A$2&amp;" "&amp;B5,"phrasE")</f>
        <v>The sentence does not explicitly mention a location for going to the movies; it only indicates an activity involving your brother and yourself without specifying any place within or outside of Excel context. To provide specific information about locations, additional details would</v>
      </c>
    </row>
    <row r="6" spans="1:3" ht="28.8" x14ac:dyDescent="0.3">
      <c r="A6" s="9"/>
      <c r="B6" s="2" t="s">
        <v>74</v>
      </c>
      <c r="C6" s="2" t="str" cm="1">
        <f t="array" ref="C6">cal4m(A$2&amp;" "&amp;B6,"phrasE")</f>
        <v>The sentence does not provide a reason for going to the movies; it simply states an action without context as to motivation. Additional information is needed to understand the purpose behind this activity.</v>
      </c>
    </row>
    <row r="7" spans="1:3" x14ac:dyDescent="0.3">
      <c r="A7" s="7"/>
    </row>
    <row r="8" spans="1:3" x14ac:dyDescent="0.3">
      <c r="A8" s="9"/>
    </row>
    <row r="9" spans="1:3" x14ac:dyDescent="0.3">
      <c r="A9" s="9"/>
    </row>
    <row r="10" spans="1:3" x14ac:dyDescent="0.3">
      <c r="A10" s="9"/>
    </row>
    <row r="11" spans="1:3" x14ac:dyDescent="0.3">
      <c r="A11" s="6"/>
    </row>
    <row r="12" spans="1:3" ht="17.399999999999999" customHeight="1" x14ac:dyDescent="0.3"/>
  </sheetData>
  <sortState xmlns:xlrd2="http://schemas.microsoft.com/office/spreadsheetml/2017/richdata2" ref="A13:A51">
    <sortCondition ref="A13:A51"/>
  </sortState>
  <mergeCells count="2">
    <mergeCell ref="A2:A6"/>
    <mergeCell ref="A8:A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7046-9F8B-457F-9F5B-3C95633C877F}">
  <sheetPr codeName="Sheet1"/>
  <dimension ref="A1:K38"/>
  <sheetViews>
    <sheetView workbookViewId="0">
      <selection activeCell="I4" sqref="I4:I29"/>
    </sheetView>
  </sheetViews>
  <sheetFormatPr defaultRowHeight="14.4" x14ac:dyDescent="0.3"/>
  <cols>
    <col min="2" max="3" width="18.6640625" customWidth="1"/>
    <col min="4" max="4" width="16.33203125" customWidth="1"/>
    <col min="5" max="5" width="24.5546875" customWidth="1"/>
    <col min="6" max="6" width="20.33203125" customWidth="1"/>
    <col min="7" max="7" width="17.21875" customWidth="1"/>
    <col min="8" max="8" width="15.33203125" customWidth="1"/>
    <col min="9" max="9" width="18.88671875" customWidth="1"/>
  </cols>
  <sheetData>
    <row r="1" spans="1:11" x14ac:dyDescent="0.3">
      <c r="D1" s="10" t="s">
        <v>79</v>
      </c>
      <c r="E1" s="10"/>
      <c r="F1" s="10"/>
      <c r="G1" s="10"/>
      <c r="H1" s="10"/>
      <c r="I1" s="10"/>
      <c r="J1" s="2"/>
    </row>
    <row r="2" spans="1:11" x14ac:dyDescent="0.3">
      <c r="D2" s="10"/>
      <c r="E2" s="10"/>
      <c r="F2" s="10"/>
      <c r="G2" s="10"/>
      <c r="H2" s="10"/>
      <c r="I2" s="10"/>
      <c r="J2" s="2"/>
    </row>
    <row r="3" spans="1:11" x14ac:dyDescent="0.3">
      <c r="B3" s="1" t="s">
        <v>76</v>
      </c>
      <c r="D3" s="10"/>
      <c r="E3" s="10"/>
      <c r="F3" s="10"/>
      <c r="G3" s="10"/>
      <c r="H3" s="10"/>
      <c r="I3" s="10"/>
      <c r="J3" s="2"/>
    </row>
    <row r="4" spans="1:11" x14ac:dyDescent="0.3">
      <c r="A4" s="1" t="s">
        <v>0</v>
      </c>
      <c r="B4" t="str" cm="1">
        <f t="array" ref="B4">cal4m(B$3&amp;" that begins with " &amp; $A4,"word")</f>
        <v>Artichoke</v>
      </c>
      <c r="D4" t="str">
        <f>B4</f>
        <v>Artichoke</v>
      </c>
      <c r="E4" s="11" t="str" cm="1">
        <f t="array" ref="E4">cal4m(D$1&amp;" "&amp;D4&amp;" or "&amp;D5,"word")</f>
        <v>Broccoli</v>
      </c>
      <c r="F4" s="11" t="str" cm="1">
        <f t="array" ref="F4">cal4m(D$1&amp;" "&amp;E4&amp;" or "&amp;E6,"word")</f>
        <v>Dill</v>
      </c>
      <c r="G4" s="11" t="str" cm="1">
        <f t="array" ref="G4">cal4m(D$1&amp;" "&amp;F4&amp;" or "&amp;F8,"word")</f>
        <v>Garlic</v>
      </c>
      <c r="H4" s="11" t="str" cm="1">
        <f t="array" ref="H4">cal4m(D$1&amp;" "&amp;G4&amp;" or "&amp;G12,"word")</f>
        <v>Pumpkin</v>
      </c>
      <c r="I4" s="15" t="str" cm="1">
        <f t="array" ref="I4">cal4m(D$1&amp;" "&amp;H4&amp;" or "&amp;H20,"word")</f>
        <v>Zucchini</v>
      </c>
    </row>
    <row r="5" spans="1:11" x14ac:dyDescent="0.3">
      <c r="A5" s="1" t="s">
        <v>1</v>
      </c>
      <c r="B5" t="str" cm="1">
        <f t="array" ref="B5">cal4m(B$3&amp;" that begins with " &amp; $A5,"word")</f>
        <v>Broccoli</v>
      </c>
      <c r="D5" s="4" t="str">
        <f t="shared" ref="D5:D29" si="0">B5</f>
        <v>Broccoli</v>
      </c>
      <c r="E5" s="12"/>
      <c r="F5" s="11"/>
      <c r="G5" s="11"/>
      <c r="H5" s="11"/>
      <c r="I5" s="15"/>
    </row>
    <row r="6" spans="1:11" x14ac:dyDescent="0.3">
      <c r="A6" s="1" t="s">
        <v>2</v>
      </c>
      <c r="B6" t="str" cm="1">
        <f t="array" ref="B6">cal4m(B$3&amp;" that begins with " &amp; $A6,"word")</f>
        <v>Carrot</v>
      </c>
      <c r="D6" t="str">
        <f t="shared" si="0"/>
        <v>Carrot</v>
      </c>
      <c r="E6" s="11" t="str" cm="1">
        <f t="array" ref="E6">cal4m(D$1&amp;" "&amp;D6&amp;" or "&amp;D7,"word")</f>
        <v>Dill</v>
      </c>
      <c r="F6" s="11"/>
      <c r="G6" s="11"/>
      <c r="H6" s="11"/>
      <c r="I6" s="15"/>
    </row>
    <row r="7" spans="1:11" x14ac:dyDescent="0.3">
      <c r="A7" s="1" t="s">
        <v>3</v>
      </c>
      <c r="B7" t="str" cm="1">
        <f t="array" ref="B7">cal4m(B$3&amp;" that begins with " &amp; $A7,"word")</f>
        <v>Dill</v>
      </c>
      <c r="D7" s="4" t="str">
        <f t="shared" si="0"/>
        <v>Dill</v>
      </c>
      <c r="E7" s="12"/>
      <c r="F7" s="12"/>
      <c r="G7" s="11"/>
      <c r="H7" s="11"/>
      <c r="I7" s="15"/>
    </row>
    <row r="8" spans="1:11" x14ac:dyDescent="0.3">
      <c r="A8" s="1" t="s">
        <v>4</v>
      </c>
      <c r="B8" t="str" cm="1">
        <f t="array" ref="B8">cal4m(B$3&amp;" that begins with " &amp; $A8,"word")</f>
        <v>Eggplant</v>
      </c>
      <c r="D8" s="5" t="str">
        <f t="shared" si="0"/>
        <v>Eggplant</v>
      </c>
      <c r="E8" s="13" t="str" cm="1">
        <f t="array" ref="E8">cal4m(D$1&amp;" "&amp;D8&amp;" or "&amp;D9,"word")</f>
        <v>Fennel</v>
      </c>
      <c r="F8" s="13" t="str" cm="1">
        <f t="array" ref="F8">cal4m(D$1&amp;" "&amp;E8&amp;" or "&amp;E10,"word")</f>
        <v>Garlic</v>
      </c>
      <c r="G8" s="11"/>
      <c r="H8" s="11"/>
      <c r="I8" s="15"/>
    </row>
    <row r="9" spans="1:11" x14ac:dyDescent="0.3">
      <c r="A9" s="1" t="s">
        <v>5</v>
      </c>
      <c r="B9" t="str" cm="1">
        <f t="array" ref="B9">cal4m(B$3&amp;" that begins with " &amp; $A9,"word")</f>
        <v>Fennel</v>
      </c>
      <c r="D9" s="4" t="str">
        <f t="shared" si="0"/>
        <v>Fennel</v>
      </c>
      <c r="E9" s="12"/>
      <c r="F9" s="11"/>
      <c r="G9" s="11"/>
      <c r="H9" s="11"/>
      <c r="I9" s="15"/>
    </row>
    <row r="10" spans="1:11" x14ac:dyDescent="0.3">
      <c r="A10" s="1" t="s">
        <v>6</v>
      </c>
      <c r="B10" t="str" cm="1">
        <f t="array" ref="B10">cal4m(B$3&amp;" that begins with " &amp; $A10,"word")</f>
        <v>Garlic</v>
      </c>
      <c r="D10" t="str">
        <f t="shared" si="0"/>
        <v>Garlic</v>
      </c>
      <c r="E10" s="11" t="str" cm="1">
        <f t="array" ref="E10">cal4m(D$1&amp;" "&amp;D10&amp;" or "&amp;D11,"word")</f>
        <v>Garlic</v>
      </c>
      <c r="F10" s="11"/>
      <c r="G10" s="11"/>
      <c r="H10" s="11"/>
      <c r="I10" s="15"/>
    </row>
    <row r="11" spans="1:11" x14ac:dyDescent="0.3">
      <c r="A11" s="1" t="s">
        <v>7</v>
      </c>
      <c r="B11" t="str" cm="1">
        <f t="array" ref="B11">cal4m(B$3&amp;" that begins with " &amp; $A11,"word")</f>
        <v>Honeydew</v>
      </c>
      <c r="D11" s="4" t="str">
        <f t="shared" si="0"/>
        <v>Honeydew</v>
      </c>
      <c r="E11" s="12"/>
      <c r="F11" s="12"/>
      <c r="G11" s="12"/>
      <c r="H11" s="11"/>
      <c r="I11" s="15"/>
    </row>
    <row r="12" spans="1:11" x14ac:dyDescent="0.3">
      <c r="A12" s="1" t="s">
        <v>25</v>
      </c>
      <c r="B12" t="str" cm="1">
        <f t="array" ref="B12">cal4m(B$3&amp;" that begins with " &amp; $A12,"word")</f>
        <v>Iceberg</v>
      </c>
      <c r="D12" s="5" t="str">
        <f t="shared" si="0"/>
        <v>Iceberg</v>
      </c>
      <c r="E12" s="13" t="str" cm="1">
        <f t="array" ref="E12">cal4m(D$1&amp;" "&amp;D12&amp;" or "&amp;D13,"word")</f>
        <v>Jicama</v>
      </c>
      <c r="F12" s="13" t="str" cm="1">
        <f t="array" ref="F12">cal4m(D$1&amp;" "&amp;E12&amp;" or "&amp;E14,"word")</f>
        <v>Kale</v>
      </c>
      <c r="G12" s="11" t="str" cm="1">
        <f t="array" ref="G12">cal4m(D$1&amp;" "&amp;F12&amp;" or "&amp;F16,"word")</f>
        <v>Pumpkin</v>
      </c>
      <c r="H12" s="11"/>
      <c r="I12" s="15"/>
    </row>
    <row r="13" spans="1:11" x14ac:dyDescent="0.3">
      <c r="A13" s="1" t="s">
        <v>8</v>
      </c>
      <c r="B13" t="str" cm="1">
        <f t="array" ref="B13">cal4m(B$3&amp;" that begins with " &amp; $A13,"word")</f>
        <v>Jicama</v>
      </c>
      <c r="D13" s="4" t="str">
        <f t="shared" si="0"/>
        <v>Jicama</v>
      </c>
      <c r="E13" s="12"/>
      <c r="F13" s="11"/>
      <c r="G13" s="11"/>
      <c r="H13" s="11"/>
      <c r="I13" s="15"/>
    </row>
    <row r="14" spans="1:11" x14ac:dyDescent="0.3">
      <c r="A14" s="1" t="s">
        <v>9</v>
      </c>
      <c r="B14" t="str" cm="1">
        <f t="array" ref="B14">cal4m(B$3&amp;" that begins with " &amp; $A14,"word")</f>
        <v>Kale</v>
      </c>
      <c r="D14" t="str">
        <f t="shared" si="0"/>
        <v>Kale</v>
      </c>
      <c r="E14" s="13" t="str" cm="1">
        <f t="array" ref="E14">cal4m(D$1&amp;" "&amp;D14&amp;" or "&amp;D15,"word")</f>
        <v>Kale</v>
      </c>
      <c r="F14" s="11"/>
      <c r="G14" s="11"/>
      <c r="H14" s="11"/>
      <c r="I14" s="15"/>
    </row>
    <row r="15" spans="1:11" x14ac:dyDescent="0.3">
      <c r="A15" s="1" t="s">
        <v>10</v>
      </c>
      <c r="B15" t="str" cm="1">
        <f t="array" ref="B15">cal4m(B$3&amp;" that begins with " &amp; $A15,"word")</f>
        <v>Lettuce</v>
      </c>
      <c r="D15" s="4" t="str">
        <f t="shared" si="0"/>
        <v>Lettuce</v>
      </c>
      <c r="E15" s="12"/>
      <c r="F15" s="12"/>
      <c r="G15" s="11"/>
      <c r="H15" s="11"/>
      <c r="I15" s="15"/>
    </row>
    <row r="16" spans="1:11" x14ac:dyDescent="0.3">
      <c r="A16" s="1" t="s">
        <v>11</v>
      </c>
      <c r="B16" t="str" cm="1">
        <f t="array" ref="B16">cal4m(B$3&amp;" that begins with " &amp; $A16,"word")</f>
        <v>Mushroom</v>
      </c>
      <c r="D16" s="5" t="str">
        <f t="shared" si="0"/>
        <v>Mushroom</v>
      </c>
      <c r="E16" s="13" t="str" cm="1">
        <f t="array" ref="E16">cal4m(D$1&amp;" "&amp;D16&amp;" or "&amp;D17,"word")</f>
        <v>Nebbiolo</v>
      </c>
      <c r="F16" s="11" t="str" cm="1">
        <f t="array" ref="F16">cal4m(D$1&amp;" "&amp;E16&amp;" or "&amp;E18,"word")</f>
        <v>Pumpkin</v>
      </c>
      <c r="G16" s="11"/>
      <c r="H16" s="11"/>
      <c r="I16" s="15"/>
      <c r="K16" s="8"/>
    </row>
    <row r="17" spans="1:9" x14ac:dyDescent="0.3">
      <c r="A17" s="1" t="s">
        <v>12</v>
      </c>
      <c r="B17" t="str" cm="1">
        <f t="array" ref="B17">cal4m(B$3&amp;" that begins with " &amp; $A17,"word")</f>
        <v>Nebbiolo</v>
      </c>
      <c r="D17" s="4" t="str">
        <f t="shared" si="0"/>
        <v>Nebbiolo</v>
      </c>
      <c r="E17" s="12"/>
      <c r="F17" s="11"/>
      <c r="G17" s="11"/>
      <c r="H17" s="11"/>
      <c r="I17" s="15"/>
    </row>
    <row r="18" spans="1:9" x14ac:dyDescent="0.3">
      <c r="A18" s="1" t="s">
        <v>13</v>
      </c>
      <c r="B18" t="str" cm="1">
        <f t="array" ref="B18">cal4m(B$3&amp;" that begins with " &amp; $A18,"word")</f>
        <v>Okra</v>
      </c>
      <c r="D18" t="str">
        <f t="shared" si="0"/>
        <v>Okra</v>
      </c>
      <c r="E18" s="11" t="str" cm="1">
        <f t="array" ref="E18">cal4m(D$1&amp;" "&amp;D18&amp;" or "&amp;D19,"word")</f>
        <v>Pumpkin</v>
      </c>
      <c r="F18" s="11"/>
      <c r="G18" s="11"/>
      <c r="H18" s="11"/>
      <c r="I18" s="15"/>
    </row>
    <row r="19" spans="1:9" x14ac:dyDescent="0.3">
      <c r="A19" s="1" t="s">
        <v>14</v>
      </c>
      <c r="B19" t="str" cm="1">
        <f t="array" ref="B19">cal4m(B$3&amp;" that begins with " &amp; $A19,"word")</f>
        <v>Pumpkin</v>
      </c>
      <c r="D19" s="4" t="str">
        <f t="shared" si="0"/>
        <v>Pumpkin</v>
      </c>
      <c r="E19" s="12"/>
      <c r="F19" s="12"/>
      <c r="G19" s="12"/>
      <c r="H19" s="12"/>
      <c r="I19" s="15"/>
    </row>
    <row r="20" spans="1:9" x14ac:dyDescent="0.3">
      <c r="A20" s="1" t="s">
        <v>15</v>
      </c>
      <c r="B20" t="str" cm="1">
        <f t="array" ref="B20">cal4m(B$3&amp;" that begins with " &amp; $A20,"word")</f>
        <v>Quinine</v>
      </c>
      <c r="D20" s="5" t="str">
        <f t="shared" si="0"/>
        <v>Quinine</v>
      </c>
      <c r="E20" s="13" t="str" cm="1">
        <f t="array" ref="E20">cal4m(D$1&amp;" "&amp;D20&amp;" or "&amp;D21,"word")</f>
        <v>Radish</v>
      </c>
      <c r="F20" s="13" t="str" cm="1">
        <f t="array" ref="F20">cal4m(D$1&amp;" "&amp;E20&amp;" or "&amp;E22,"word")</f>
        <v>Tomato</v>
      </c>
      <c r="G20" s="13" t="str" cm="1">
        <f t="array" ref="G20">cal4m(D$1&amp;" "&amp;F20&amp;" or "&amp;F24,"word")</f>
        <v>Xigua</v>
      </c>
      <c r="H20" s="9" t="str" cm="1">
        <f t="array" ref="H20">cal4m(D$1&amp;" "&amp;G20&amp;" or "&amp;G28,"word")</f>
        <v>Zucchini</v>
      </c>
      <c r="I20" s="15"/>
    </row>
    <row r="21" spans="1:9" x14ac:dyDescent="0.3">
      <c r="A21" s="1" t="s">
        <v>16</v>
      </c>
      <c r="B21" t="str" cm="1">
        <f t="array" ref="B21">cal4m(B$3&amp;" that begins with " &amp; $A21,"word")</f>
        <v>Radish</v>
      </c>
      <c r="D21" s="4" t="str">
        <f t="shared" si="0"/>
        <v>Radish</v>
      </c>
      <c r="E21" s="12"/>
      <c r="F21" s="11"/>
      <c r="G21" s="11"/>
      <c r="H21" s="9"/>
      <c r="I21" s="15"/>
    </row>
    <row r="22" spans="1:9" x14ac:dyDescent="0.3">
      <c r="A22" s="1" t="s">
        <v>17</v>
      </c>
      <c r="B22" t="str" cm="1">
        <f t="array" ref="B22">cal4m(B$3&amp;" that begins with " &amp; $A22,"word")</f>
        <v>Spinach</v>
      </c>
      <c r="D22" t="str">
        <f t="shared" si="0"/>
        <v>Spinach</v>
      </c>
      <c r="E22" s="11" t="str" cm="1">
        <f t="array" ref="E22">cal4m(D$1&amp;" "&amp;D22&amp;" or "&amp;D23,"word")</f>
        <v>Tomato</v>
      </c>
      <c r="F22" s="11"/>
      <c r="G22" s="11"/>
      <c r="H22" s="9"/>
      <c r="I22" s="15"/>
    </row>
    <row r="23" spans="1:9" x14ac:dyDescent="0.3">
      <c r="A23" s="1" t="s">
        <v>18</v>
      </c>
      <c r="B23" t="str" cm="1">
        <f t="array" ref="B23">cal4m(B$3&amp;" that begins with " &amp; $A23,"word")</f>
        <v>Tomato</v>
      </c>
      <c r="D23" s="4" t="str">
        <f t="shared" si="0"/>
        <v>Tomato</v>
      </c>
      <c r="E23" s="12"/>
      <c r="F23" s="12"/>
      <c r="G23" s="11"/>
      <c r="H23" s="9"/>
      <c r="I23" s="15"/>
    </row>
    <row r="24" spans="1:9" x14ac:dyDescent="0.3">
      <c r="A24" s="1" t="s">
        <v>19</v>
      </c>
      <c r="B24" t="str" cm="1">
        <f t="array" ref="B24">cal4m(B$3&amp;" that begins with " &amp; $A24,"word")</f>
        <v>Umbelliferae</v>
      </c>
      <c r="D24" s="5" t="str">
        <f t="shared" si="0"/>
        <v>Umbelliferae</v>
      </c>
      <c r="E24" s="13" t="str" cm="1">
        <f t="array" ref="E24">cal4m(D$1&amp;" "&amp;D24&amp;" or "&amp;D25,"word")</f>
        <v>Umbelliferae</v>
      </c>
      <c r="F24" s="11" t="str" cm="1">
        <f t="array" ref="F24">cal4m(D$1&amp;" "&amp;E24&amp;" or "&amp;E26,"word")</f>
        <v>Xigua</v>
      </c>
      <c r="G24" s="11"/>
      <c r="H24" s="9"/>
      <c r="I24" s="15"/>
    </row>
    <row r="25" spans="1:9" x14ac:dyDescent="0.3">
      <c r="A25" s="1" t="s">
        <v>20</v>
      </c>
      <c r="B25" t="str" cm="1">
        <f t="array" ref="B25">cal4m(B$3&amp;" that begins with " &amp; $A25,"word")</f>
        <v>Vegetable:</v>
      </c>
      <c r="D25" s="4" t="str">
        <f t="shared" si="0"/>
        <v>Vegetable:</v>
      </c>
      <c r="E25" s="12"/>
      <c r="F25" s="11"/>
      <c r="G25" s="11"/>
      <c r="H25" s="9"/>
      <c r="I25" s="15"/>
    </row>
    <row r="26" spans="1:9" x14ac:dyDescent="0.3">
      <c r="A26" s="1" t="s">
        <v>21</v>
      </c>
      <c r="B26" t="str" cm="1">
        <f t="array" ref="B26">cal4m(B$3&amp;" that begins with " &amp; $A26,"word")</f>
        <v>Watermelon</v>
      </c>
      <c r="D26" t="str">
        <f t="shared" si="0"/>
        <v>Watermelon</v>
      </c>
      <c r="E26" s="11" t="str" cm="1">
        <f t="array" ref="E26">cal4m(D$1&amp;" "&amp;D26&amp;" or "&amp;D27,"word")</f>
        <v>Xigua</v>
      </c>
      <c r="F26" s="11"/>
      <c r="G26" s="11"/>
      <c r="H26" s="9"/>
      <c r="I26" s="15"/>
    </row>
    <row r="27" spans="1:9" x14ac:dyDescent="0.3">
      <c r="A27" s="1" t="s">
        <v>22</v>
      </c>
      <c r="B27" t="str" cm="1">
        <f t="array" ref="B27">cal4m(B$3&amp;" that begins with " &amp; $A27,"word")</f>
        <v>Xigua</v>
      </c>
      <c r="D27" s="4" t="str">
        <f t="shared" si="0"/>
        <v>Xigua</v>
      </c>
      <c r="E27" s="12"/>
      <c r="F27" s="12"/>
      <c r="G27" s="12"/>
      <c r="H27" s="9"/>
      <c r="I27" s="15"/>
    </row>
    <row r="28" spans="1:9" x14ac:dyDescent="0.3">
      <c r="A28" s="1" t="s">
        <v>23</v>
      </c>
      <c r="B28" t="str" cm="1">
        <f t="array" ref="B28">cal4m(B$3&amp;" that begins with " &amp; $A28,"word")</f>
        <v>Yam</v>
      </c>
      <c r="D28" t="str">
        <f t="shared" si="0"/>
        <v>Yam</v>
      </c>
      <c r="E28" s="11" t="str" cm="1">
        <f t="array" ref="E28">cal4m(D$1&amp;" "&amp;D28&amp;" or "&amp;D29,"word")</f>
        <v>Zucchini</v>
      </c>
      <c r="F28" s="11" t="str" cm="1">
        <f t="array" ref="F28">cal4m(F$1&amp;" "&amp;E28&amp;" or "&amp;E29,"word")</f>
        <v>Zucchini</v>
      </c>
      <c r="G28" s="11" t="str" cm="1">
        <f t="array" ref="G28">cal4m(G$1&amp;" "&amp;F28&amp;" or "&amp;F29,"word")</f>
        <v>Zucchini</v>
      </c>
      <c r="H28" s="9"/>
      <c r="I28" s="15"/>
    </row>
    <row r="29" spans="1:9" x14ac:dyDescent="0.3">
      <c r="A29" s="1" t="s">
        <v>24</v>
      </c>
      <c r="B29" t="str" cm="1">
        <f t="array" ref="B29">cal4m(B$3&amp;" that begins with " &amp; $A29,"word")</f>
        <v>Zucchini</v>
      </c>
      <c r="D29" s="4" t="str">
        <f t="shared" si="0"/>
        <v>Zucchini</v>
      </c>
      <c r="E29" s="12"/>
      <c r="F29" s="12"/>
      <c r="G29" s="12"/>
      <c r="H29" s="14"/>
      <c r="I29" s="12"/>
    </row>
    <row r="31" spans="1:9" x14ac:dyDescent="0.3">
      <c r="B31" s="1"/>
      <c r="C31" s="1"/>
    </row>
    <row r="32" spans="1:9" x14ac:dyDescent="0.3">
      <c r="B32" s="1"/>
      <c r="C32" s="1"/>
    </row>
    <row r="33" spans="2:3" x14ac:dyDescent="0.3">
      <c r="B33" s="1"/>
      <c r="C33" s="1"/>
    </row>
    <row r="34" spans="2:3" x14ac:dyDescent="0.3">
      <c r="B34" s="1"/>
      <c r="C34" s="1"/>
    </row>
    <row r="35" spans="2:3" x14ac:dyDescent="0.3">
      <c r="B35" s="1"/>
      <c r="C35" s="1"/>
    </row>
    <row r="36" spans="2:3" x14ac:dyDescent="0.3">
      <c r="B36" s="1"/>
      <c r="C36" s="1"/>
    </row>
    <row r="37" spans="2:3" x14ac:dyDescent="0.3">
      <c r="B37" s="1"/>
      <c r="C37" s="1"/>
    </row>
    <row r="38" spans="2:3" x14ac:dyDescent="0.3">
      <c r="B38" s="1"/>
      <c r="C38" s="1"/>
    </row>
  </sheetData>
  <mergeCells count="28">
    <mergeCell ref="F28:F29"/>
    <mergeCell ref="G28:G29"/>
    <mergeCell ref="F4:F7"/>
    <mergeCell ref="F8:F11"/>
    <mergeCell ref="F12:F15"/>
    <mergeCell ref="F16:F19"/>
    <mergeCell ref="F20:F23"/>
    <mergeCell ref="E16:E17"/>
    <mergeCell ref="F24:F27"/>
    <mergeCell ref="G4:G11"/>
    <mergeCell ref="E4:E5"/>
    <mergeCell ref="G20:G27"/>
    <mergeCell ref="D1:I3"/>
    <mergeCell ref="H4:H19"/>
    <mergeCell ref="G12:G19"/>
    <mergeCell ref="I4:I29"/>
    <mergeCell ref="E6:E7"/>
    <mergeCell ref="E8:E9"/>
    <mergeCell ref="E10:E11"/>
    <mergeCell ref="E12:E13"/>
    <mergeCell ref="E14:E15"/>
    <mergeCell ref="H20:H29"/>
    <mergeCell ref="E18:E19"/>
    <mergeCell ref="E20:E21"/>
    <mergeCell ref="E22:E23"/>
    <mergeCell ref="E24:E25"/>
    <mergeCell ref="E26:E27"/>
    <mergeCell ref="E28:E29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697208-E611-40B4-8FB2-D7E666E250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Opposites</vt:lpstr>
      <vt:lpstr>Sentiment</vt:lpstr>
      <vt:lpstr>Grammar</vt:lpstr>
      <vt:lpstr>Knockout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Hubbard</dc:creator>
  <cp:lastModifiedBy>p h</cp:lastModifiedBy>
  <dcterms:created xsi:type="dcterms:W3CDTF">2025-05-25T00:52:36Z</dcterms:created>
  <dcterms:modified xsi:type="dcterms:W3CDTF">2025-05-27T11:16:39Z</dcterms:modified>
</cp:coreProperties>
</file>